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Z\Downloads\"/>
    </mc:Choice>
  </mc:AlternateContent>
  <xr:revisionPtr revIDLastSave="0" documentId="8_{541F5785-0306-A54E-8CCC-1A56E94DE4F5}" xr6:coauthVersionLast="47" xr6:coauthVersionMax="47" xr10:uidLastSave="{00000000-0000-0000-0000-000000000000}"/>
  <bookViews>
    <workbookView xWindow="-110" yWindow="-110" windowWidth="19420" windowHeight="10300" xr2:uid="{94F60349-6ECC-4C4A-BDC9-607E1278B2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  <c r="D34" i="1"/>
  <c r="D35" i="1"/>
  <c r="D36" i="1"/>
  <c r="B35" i="1"/>
  <c r="B36" i="1"/>
</calcChain>
</file>

<file path=xl/sharedStrings.xml><?xml version="1.0" encoding="utf-8"?>
<sst xmlns="http://schemas.openxmlformats.org/spreadsheetml/2006/main" count="10" uniqueCount="10">
  <si>
    <t>year</t>
  </si>
  <si>
    <t>Population growth</t>
  </si>
  <si>
    <t>man</t>
  </si>
  <si>
    <t>ren</t>
  </si>
  <si>
    <t>logurb</t>
  </si>
  <si>
    <t>lco2</t>
  </si>
  <si>
    <t>urbanization</t>
  </si>
  <si>
    <t>urbanizsq</t>
  </si>
  <si>
    <t>gdpconst</t>
  </si>
  <si>
    <t>loggdp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</si>
</sst>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D594-5194-43D8-8583-F26AFC15B5DE}">
  <dimension ref="A1:J36"/>
  <sheetViews>
    <sheetView tabSelected="1" zoomScale="115" zoomScaleNormal="115" workbookViewId="0">
      <selection activeCell="C1" sqref="C1:C1048576"/>
    </sheetView>
  </sheetViews>
  <sheetFormatPr defaultRowHeight="15" x14ac:dyDescent="0.2"/>
  <cols>
    <col min="7" max="7" width="11.97265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4</v>
      </c>
      <c r="J1" t="s">
        <v>9</v>
      </c>
    </row>
    <row r="2" spans="1:10" x14ac:dyDescent="0.2">
      <c r="A2">
        <v>1991</v>
      </c>
      <c r="B2">
        <v>2.7569750000000002</v>
      </c>
      <c r="C2">
        <v>16.017777511111113</v>
      </c>
      <c r="D2">
        <v>9.3000000000000007</v>
      </c>
      <c r="E2">
        <v>4.8537553376240004</v>
      </c>
      <c r="F2">
        <v>26038062</v>
      </c>
      <c r="G2">
        <f>(F2)^2</f>
        <v>677980672715844</v>
      </c>
      <c r="H2">
        <v>116462268700.45161</v>
      </c>
      <c r="I2">
        <v>17.075069948571901</v>
      </c>
      <c r="J2">
        <v>25.480833183677799</v>
      </c>
    </row>
    <row r="3" spans="1:10" x14ac:dyDescent="0.2">
      <c r="A3">
        <v>1992</v>
      </c>
      <c r="B3">
        <v>2.3894920000000002</v>
      </c>
      <c r="C3">
        <v>15.621854780733285</v>
      </c>
      <c r="D3">
        <v>9.1</v>
      </c>
      <c r="E3">
        <v>4.8537553376240004</v>
      </c>
      <c r="F3">
        <v>26545253</v>
      </c>
      <c r="G3">
        <f>(F3)^2</f>
        <v>704650456834009</v>
      </c>
      <c r="H3">
        <v>121671461982.00984</v>
      </c>
      <c r="I3">
        <v>17.094361494939601</v>
      </c>
      <c r="J3">
        <v>25.5245903146348</v>
      </c>
    </row>
    <row r="4" spans="1:10" x14ac:dyDescent="0.2">
      <c r="A4">
        <v>1993</v>
      </c>
      <c r="B4">
        <v>2.3072780000000002</v>
      </c>
      <c r="C4">
        <v>15.734536082474227</v>
      </c>
      <c r="D4">
        <v>9.1999999999999993</v>
      </c>
      <c r="E4">
        <v>4.8537553376240004</v>
      </c>
      <c r="F4">
        <v>27045697</v>
      </c>
      <c r="G4">
        <f>(F4)^2</f>
        <v>731469726215809</v>
      </c>
      <c r="H4">
        <v>125200896556.91602</v>
      </c>
      <c r="I4">
        <v>17.113038474817198</v>
      </c>
      <c r="J4">
        <v>25.553185456584501</v>
      </c>
    </row>
    <row r="5" spans="1:10" x14ac:dyDescent="0.2">
      <c r="A5">
        <v>1994</v>
      </c>
      <c r="B5">
        <v>2.1540050000000002</v>
      </c>
      <c r="C5">
        <v>16.017142857142858</v>
      </c>
      <c r="D5">
        <v>10</v>
      </c>
      <c r="E5">
        <v>4.8537553376240004</v>
      </c>
      <c r="F5">
        <v>27529439</v>
      </c>
      <c r="G5">
        <f>(F5)^2</f>
        <v>757870011654721</v>
      </c>
      <c r="H5">
        <v>130175343748.45844</v>
      </c>
      <c r="I5">
        <v>17.130766499141401</v>
      </c>
      <c r="J5">
        <v>25.592148176656</v>
      </c>
    </row>
    <row r="6" spans="1:10" x14ac:dyDescent="0.2">
      <c r="A6">
        <v>1995</v>
      </c>
      <c r="B6">
        <v>2.1042049999999999</v>
      </c>
      <c r="C6">
        <v>16.338235294117649</v>
      </c>
      <c r="D6">
        <v>9.4</v>
      </c>
      <c r="E6">
        <v>4.8537553376240004</v>
      </c>
      <c r="F6">
        <v>28034918</v>
      </c>
      <c r="G6">
        <f>(F6)^2</f>
        <v>785956627266724</v>
      </c>
      <c r="H6">
        <v>136218680413.81891</v>
      </c>
      <c r="I6">
        <v>17.148961362620302</v>
      </c>
      <c r="J6">
        <v>25.637527375543499</v>
      </c>
    </row>
    <row r="7" spans="1:10" x14ac:dyDescent="0.2">
      <c r="A7">
        <v>1996</v>
      </c>
      <c r="B7">
        <v>2.0733619634766201</v>
      </c>
      <c r="C7">
        <v>16.537053182214471</v>
      </c>
      <c r="D7">
        <v>9</v>
      </c>
      <c r="E7">
        <v>4.8537553376240004</v>
      </c>
      <c r="F7">
        <v>28580556</v>
      </c>
      <c r="G7">
        <f>(F7)^2</f>
        <v>816848181269136</v>
      </c>
      <c r="H7">
        <v>143014263359.02905</v>
      </c>
      <c r="I7">
        <v>17.1682371844405</v>
      </c>
      <c r="J7">
        <v>25.686210206001601</v>
      </c>
    </row>
    <row r="8" spans="1:10" x14ac:dyDescent="0.2">
      <c r="A8">
        <v>1997</v>
      </c>
      <c r="B8">
        <v>2.0725593428379598</v>
      </c>
      <c r="C8">
        <v>16.315532154945469</v>
      </c>
      <c r="D8">
        <v>8.6</v>
      </c>
      <c r="E8">
        <v>4.8537553376240004</v>
      </c>
      <c r="F8">
        <v>29176418</v>
      </c>
      <c r="G8">
        <f>(F8)^2</f>
        <v>851263367310724</v>
      </c>
      <c r="H8">
        <v>150869114035.83728</v>
      </c>
      <c r="I8">
        <v>17.188871338212</v>
      </c>
      <c r="J8">
        <v>25.739678503413099</v>
      </c>
    </row>
    <row r="9" spans="1:10" x14ac:dyDescent="0.2">
      <c r="A9">
        <v>1998</v>
      </c>
      <c r="B9">
        <v>2.1848075953092199</v>
      </c>
      <c r="C9">
        <v>16.97912317327766</v>
      </c>
      <c r="D9">
        <v>8.5</v>
      </c>
      <c r="E9">
        <v>4.9686737616603303</v>
      </c>
      <c r="F9">
        <v>29834980</v>
      </c>
      <c r="G9">
        <f>(F9)^2</f>
        <v>890126031600400</v>
      </c>
      <c r="H9">
        <v>159280817658.31747</v>
      </c>
      <c r="I9">
        <v>17.211192088584401</v>
      </c>
      <c r="J9">
        <v>25.793934630154201</v>
      </c>
    </row>
    <row r="10" spans="1:10" x14ac:dyDescent="0.2">
      <c r="A10">
        <v>1999</v>
      </c>
      <c r="B10">
        <v>2.2305641664140499</v>
      </c>
      <c r="C10">
        <v>17.953511053315996</v>
      </c>
      <c r="D10">
        <v>8.8000000000000007</v>
      </c>
      <c r="E10">
        <v>4.9686737616603303</v>
      </c>
      <c r="F10">
        <v>30532323</v>
      </c>
      <c r="G10">
        <f>(F10)^2</f>
        <v>932222747776329</v>
      </c>
      <c r="H10">
        <v>168922784450.99442</v>
      </c>
      <c r="I10">
        <v>17.234296450909099</v>
      </c>
      <c r="J10">
        <v>25.852707550720599</v>
      </c>
    </row>
    <row r="11" spans="1:10" x14ac:dyDescent="0.2">
      <c r="A11">
        <v>2000</v>
      </c>
      <c r="B11">
        <v>2.1609197852978199</v>
      </c>
      <c r="C11">
        <v>17.997971184945605</v>
      </c>
      <c r="D11">
        <v>8.3000000000000007</v>
      </c>
      <c r="E11">
        <v>4.8493469796301101</v>
      </c>
      <c r="F11">
        <v>31231367</v>
      </c>
      <c r="G11">
        <f>(F11)^2</f>
        <v>975398284688689</v>
      </c>
      <c r="H11">
        <v>179683172290.12631</v>
      </c>
      <c r="I11">
        <v>17.256933500315299</v>
      </c>
      <c r="J11">
        <v>25.9144609830017</v>
      </c>
    </row>
    <row r="12" spans="1:10" x14ac:dyDescent="0.2">
      <c r="A12">
        <v>2001</v>
      </c>
      <c r="B12">
        <v>2.1238036234522601</v>
      </c>
      <c r="C12">
        <v>17.698076386952884</v>
      </c>
      <c r="D12">
        <v>7.8</v>
      </c>
      <c r="E12">
        <v>4.8493469796301101</v>
      </c>
      <c r="F12">
        <v>31938789</v>
      </c>
      <c r="G12">
        <f>(F12)^2</f>
        <v>1020086242786521</v>
      </c>
      <c r="H12">
        <v>186035425185.30621</v>
      </c>
      <c r="I12">
        <v>17.279331785191999</v>
      </c>
      <c r="J12">
        <v>25.949202950510301</v>
      </c>
    </row>
    <row r="13" spans="1:10" x14ac:dyDescent="0.2">
      <c r="A13">
        <v>2002</v>
      </c>
      <c r="B13">
        <v>2.1037235974595498</v>
      </c>
      <c r="C13">
        <v>18.496753760886779</v>
      </c>
      <c r="D13">
        <v>7.3</v>
      </c>
      <c r="E13">
        <v>4.86101323346531</v>
      </c>
      <c r="F13">
        <v>32656854</v>
      </c>
      <c r="G13">
        <f>(F13)^2</f>
        <v>1066470113177316</v>
      </c>
      <c r="H13">
        <v>190482051409.27856</v>
      </c>
      <c r="I13">
        <v>17.301565315086201</v>
      </c>
      <c r="J13">
        <v>25.972823808750299</v>
      </c>
    </row>
    <row r="14" spans="1:10" x14ac:dyDescent="0.2">
      <c r="A14">
        <v>2003</v>
      </c>
      <c r="B14">
        <v>2.09545323003183</v>
      </c>
      <c r="C14">
        <v>17.303832335329343</v>
      </c>
      <c r="D14">
        <v>7.4</v>
      </c>
      <c r="E14">
        <v>5.0100951482437397</v>
      </c>
      <c r="F14">
        <v>33386302</v>
      </c>
      <c r="G14">
        <f>(F14)^2</f>
        <v>1114645161235204</v>
      </c>
      <c r="H14">
        <v>196565009504.22433</v>
      </c>
      <c r="I14">
        <v>17.3236562540643</v>
      </c>
      <c r="J14">
        <v>26.0042590507128</v>
      </c>
    </row>
    <row r="15" spans="1:10" x14ac:dyDescent="0.2">
      <c r="A15">
        <v>2004</v>
      </c>
      <c r="B15">
        <v>2.06437734857129</v>
      </c>
      <c r="C15">
        <v>17.236966824644551</v>
      </c>
      <c r="D15">
        <v>7.6</v>
      </c>
      <c r="E15">
        <v>5.0276628325627701</v>
      </c>
      <c r="F15">
        <v>34116137</v>
      </c>
      <c r="G15">
        <f>(F15)^2</f>
        <v>1163910803802769</v>
      </c>
      <c r="H15">
        <v>204608590453.73184</v>
      </c>
      <c r="I15">
        <v>17.345281056124101</v>
      </c>
      <c r="J15">
        <v>26.044364676159901</v>
      </c>
    </row>
    <row r="16" spans="1:10" x14ac:dyDescent="0.2">
      <c r="A16">
        <v>2005</v>
      </c>
      <c r="B16">
        <v>2.02220952721924</v>
      </c>
      <c r="C16">
        <v>16.709452181987</v>
      </c>
      <c r="D16">
        <v>6.5</v>
      </c>
      <c r="E16">
        <v>5.1252548125861797</v>
      </c>
      <c r="F16">
        <v>34838499</v>
      </c>
      <c r="G16">
        <f>(F16)^2</f>
        <v>1213721012573001</v>
      </c>
      <c r="H16">
        <v>213758163784.66467</v>
      </c>
      <c r="I16">
        <v>17.366233626356799</v>
      </c>
      <c r="J16">
        <v>26.088111137178501</v>
      </c>
    </row>
    <row r="17" spans="1:10" x14ac:dyDescent="0.2">
      <c r="A17">
        <v>2006</v>
      </c>
      <c r="B17">
        <v>1.9529134230048799</v>
      </c>
      <c r="C17">
        <v>15.977561923263719</v>
      </c>
      <c r="D17">
        <v>6.2</v>
      </c>
      <c r="E17">
        <v>5.1884690178374298</v>
      </c>
      <c r="F17">
        <v>35538843</v>
      </c>
      <c r="G17">
        <f>(F17)^2</f>
        <v>1263009361778649</v>
      </c>
      <c r="H17">
        <v>228387426639.90891</v>
      </c>
      <c r="I17">
        <v>17.3861368252931</v>
      </c>
      <c r="J17">
        <v>26.154309263475199</v>
      </c>
    </row>
    <row r="18" spans="1:10" x14ac:dyDescent="0.2">
      <c r="A18">
        <v>2007</v>
      </c>
      <c r="B18">
        <v>1.8875321707711901</v>
      </c>
      <c r="C18">
        <v>15.369924812030074</v>
      </c>
      <c r="D18">
        <v>6</v>
      </c>
      <c r="E18">
        <v>5.2407147364115696</v>
      </c>
      <c r="F18">
        <v>36215994</v>
      </c>
      <c r="G18">
        <f>(F18)^2</f>
        <v>1311598221408036</v>
      </c>
      <c r="H18">
        <v>244575133304.5542</v>
      </c>
      <c r="I18">
        <v>17.405011402425199</v>
      </c>
      <c r="J18">
        <v>26.222788392335399</v>
      </c>
    </row>
    <row r="19" spans="1:10" x14ac:dyDescent="0.2">
      <c r="A19">
        <v>2008</v>
      </c>
      <c r="B19">
        <v>1.86740413264217</v>
      </c>
      <c r="C19">
        <v>15.522367392518147</v>
      </c>
      <c r="D19">
        <v>5.9</v>
      </c>
      <c r="E19">
        <v>5.2868923488785704</v>
      </c>
      <c r="F19">
        <v>36888285</v>
      </c>
      <c r="G19">
        <f>(F19)^2</f>
        <v>1360745570241225</v>
      </c>
      <c r="H19">
        <v>262077623378.47815</v>
      </c>
      <c r="I19">
        <v>17.423404578928601</v>
      </c>
      <c r="J19">
        <v>26.291906569264398</v>
      </c>
    </row>
    <row r="20" spans="1:10" x14ac:dyDescent="0.2">
      <c r="A20">
        <v>2009</v>
      </c>
      <c r="B20">
        <v>1.88836522446639</v>
      </c>
      <c r="C20">
        <v>15.786154289004031</v>
      </c>
      <c r="D20">
        <v>5.7</v>
      </c>
      <c r="E20">
        <v>5.3301938691952904</v>
      </c>
      <c r="F20">
        <v>37571756</v>
      </c>
      <c r="G20">
        <f>(F20)^2</f>
        <v>1411636848923536</v>
      </c>
      <c r="H20">
        <v>274326082660.55685</v>
      </c>
      <c r="I20">
        <v>17.441763155877599</v>
      </c>
      <c r="J20">
        <v>26.3375833184501</v>
      </c>
    </row>
    <row r="21" spans="1:10" x14ac:dyDescent="0.2">
      <c r="A21">
        <v>2010</v>
      </c>
      <c r="B21">
        <v>1.91795124102801</v>
      </c>
      <c r="C21">
        <v>16.102270843693024</v>
      </c>
      <c r="D21">
        <v>5.4</v>
      </c>
      <c r="E21">
        <v>5.3161965766352699</v>
      </c>
      <c r="F21">
        <v>38270215</v>
      </c>
      <c r="G21">
        <f>(F21)^2</f>
        <v>1464609356146225</v>
      </c>
      <c r="H21">
        <v>288446290410.38593</v>
      </c>
      <c r="I21">
        <v>17.460182475363599</v>
      </c>
      <c r="J21">
        <v>26.387774737141498</v>
      </c>
    </row>
    <row r="22" spans="1:10" x14ac:dyDescent="0.2">
      <c r="A22">
        <v>2011</v>
      </c>
      <c r="B22">
        <v>2.1044607622411999</v>
      </c>
      <c r="C22">
        <v>15.767194223616073</v>
      </c>
      <c r="D22">
        <v>5.4</v>
      </c>
      <c r="E22">
        <v>5.3795147918938202</v>
      </c>
      <c r="F22">
        <v>39045598</v>
      </c>
      <c r="G22">
        <f>(F22)^2</f>
        <v>1524558723177604</v>
      </c>
      <c r="H22">
        <v>293536132736.18848</v>
      </c>
      <c r="I22">
        <v>17.480240700623</v>
      </c>
      <c r="J22">
        <v>26.405266578470801</v>
      </c>
    </row>
    <row r="23" spans="1:10" x14ac:dyDescent="0.2">
      <c r="A23">
        <v>2012</v>
      </c>
      <c r="B23">
        <v>2.24475795490011</v>
      </c>
      <c r="C23">
        <v>16.165474413327761</v>
      </c>
      <c r="D23">
        <v>5.3</v>
      </c>
      <c r="E23">
        <v>5.3647322512140097</v>
      </c>
      <c r="F23">
        <v>39883949</v>
      </c>
      <c r="G23">
        <f>(F23)^2</f>
        <v>1590729387834601</v>
      </c>
      <c r="H23">
        <v>300070833530.76117</v>
      </c>
      <c r="I23">
        <v>17.501484520221702</v>
      </c>
      <c r="J23">
        <v>26.4272843955018</v>
      </c>
    </row>
    <row r="24" spans="1:10" x14ac:dyDescent="0.2">
      <c r="A24">
        <v>2013</v>
      </c>
      <c r="B24">
        <v>2.3052636431562501</v>
      </c>
      <c r="C24">
        <v>16.608374543109008</v>
      </c>
      <c r="D24">
        <v>5.3</v>
      </c>
      <c r="E24">
        <v>5.3538419464078402</v>
      </c>
      <c r="F24">
        <v>40756455</v>
      </c>
      <c r="G24">
        <f>(F24)^2</f>
        <v>1661088624167025</v>
      </c>
      <c r="H24">
        <v>306628779734.43213</v>
      </c>
      <c r="I24">
        <v>17.5231247900143</v>
      </c>
      <c r="J24">
        <v>26.448903666344901</v>
      </c>
    </row>
    <row r="25" spans="1:10" x14ac:dyDescent="0.2">
      <c r="A25">
        <v>2014</v>
      </c>
      <c r="B25">
        <v>2.27643956620182</v>
      </c>
      <c r="C25">
        <v>16.774446009389671</v>
      </c>
      <c r="D25">
        <v>5.4</v>
      </c>
      <c r="E25">
        <v>5.4245049845482303</v>
      </c>
      <c r="F25">
        <v>41627719</v>
      </c>
      <c r="G25">
        <f>(F25)^2</f>
        <v>1732866989142961</v>
      </c>
      <c r="H25">
        <v>315569804751.82758</v>
      </c>
      <c r="I25">
        <v>17.544276825452801</v>
      </c>
      <c r="J25">
        <v>26.4776457456496</v>
      </c>
    </row>
    <row r="26" spans="1:10" x14ac:dyDescent="0.2">
      <c r="A26">
        <v>2015</v>
      </c>
      <c r="B26">
        <v>2.0989255480556301</v>
      </c>
      <c r="C26">
        <v>16.697446704038626</v>
      </c>
      <c r="D26">
        <v>5.3</v>
      </c>
      <c r="E26">
        <v>5.4137866163541499</v>
      </c>
      <c r="F26">
        <v>42434076</v>
      </c>
      <c r="G26">
        <f>(F26)^2</f>
        <v>1800650805973776</v>
      </c>
      <c r="H26">
        <v>329366576819.40698</v>
      </c>
      <c r="I26">
        <v>17.563462276670201</v>
      </c>
      <c r="J26">
        <v>26.5204371826912</v>
      </c>
    </row>
    <row r="27" spans="1:10" x14ac:dyDescent="0.2">
      <c r="A27">
        <v>2016</v>
      </c>
      <c r="B27">
        <v>2.0346829492708398</v>
      </c>
      <c r="C27">
        <v>16.841326492950468</v>
      </c>
      <c r="D27">
        <v>5.0999999999999996</v>
      </c>
      <c r="E27">
        <v>5.4780606023271901</v>
      </c>
      <c r="F27">
        <v>43220369</v>
      </c>
      <c r="G27">
        <f>(F27)^2</f>
        <v>1868000296496161</v>
      </c>
      <c r="H27">
        <v>343682967577.04199</v>
      </c>
      <c r="I27">
        <v>17.581822446720501</v>
      </c>
      <c r="J27">
        <v>26.562985463499299</v>
      </c>
    </row>
    <row r="28" spans="1:10" x14ac:dyDescent="0.2">
      <c r="A28">
        <v>2017</v>
      </c>
      <c r="B28">
        <v>1.99817843887244</v>
      </c>
      <c r="C28">
        <v>16.593520610519981</v>
      </c>
      <c r="D28">
        <v>4.9000000000000004</v>
      </c>
      <c r="E28">
        <v>5.5632744206756497</v>
      </c>
      <c r="F28">
        <v>44017525</v>
      </c>
      <c r="G28">
        <f>(F28)^2</f>
        <v>1937542507125625</v>
      </c>
      <c r="H28">
        <v>358053111989.4754</v>
      </c>
      <c r="I28">
        <v>17.600098408038502</v>
      </c>
      <c r="J28">
        <v>26.603947169855701</v>
      </c>
    </row>
    <row r="29" spans="1:10" x14ac:dyDescent="0.2">
      <c r="A29">
        <v>2018</v>
      </c>
      <c r="B29">
        <v>1.8971383183308199</v>
      </c>
      <c r="C29">
        <v>16.350889588958893</v>
      </c>
      <c r="D29">
        <v>5</v>
      </c>
      <c r="E29">
        <v>5.5183240028850902</v>
      </c>
      <c r="F29">
        <v>44870205</v>
      </c>
      <c r="G29">
        <f>(F29)^2</f>
        <v>2013335296742025</v>
      </c>
      <c r="H29">
        <v>377141312302.88416</v>
      </c>
      <c r="I29">
        <v>17.619284546695901</v>
      </c>
      <c r="J29">
        <v>26.655885787856398</v>
      </c>
    </row>
    <row r="30" spans="1:10" x14ac:dyDescent="0.2">
      <c r="A30">
        <v>2019</v>
      </c>
      <c r="B30">
        <v>1.7549743817380099</v>
      </c>
      <c r="C30">
        <v>15.98829896354539</v>
      </c>
      <c r="D30">
        <v>6.2</v>
      </c>
      <c r="E30">
        <v>5.5558314262272104</v>
      </c>
      <c r="F30">
        <v>45689875</v>
      </c>
      <c r="G30">
        <f>(F30)^2</f>
        <v>2087564677515625</v>
      </c>
      <c r="H30">
        <v>398080548970.53595</v>
      </c>
      <c r="I30">
        <v>17.637387277707301</v>
      </c>
      <c r="J30">
        <v>26.709920206101899</v>
      </c>
    </row>
    <row r="31" spans="1:10" x14ac:dyDescent="0.2">
      <c r="A31">
        <v>2020</v>
      </c>
      <c r="B31">
        <v>1.6249538695169601</v>
      </c>
      <c r="C31">
        <v>16.380456067353638</v>
      </c>
      <c r="D31">
        <v>6.7</v>
      </c>
      <c r="E31">
        <v>5.4611077591963504</v>
      </c>
      <c r="F31">
        <v>46478772</v>
      </c>
      <c r="G31">
        <f>(F31)^2</f>
        <v>2160276246627984</v>
      </c>
      <c r="H31">
        <v>412213064650.3139</v>
      </c>
      <c r="I31">
        <v>17.6545062501933</v>
      </c>
      <c r="J31">
        <v>26.744806199830901</v>
      </c>
    </row>
    <row r="32" spans="1:10" x14ac:dyDescent="0.2">
      <c r="A32">
        <v>2021</v>
      </c>
      <c r="B32">
        <v>1.4908053906311001</v>
      </c>
      <c r="C32">
        <v>15.485283876874128</v>
      </c>
      <c r="D32">
        <v>6.1</v>
      </c>
      <c r="E32">
        <v>5.5642751665256496</v>
      </c>
      <c r="F32">
        <v>47232852</v>
      </c>
      <c r="G32">
        <f>(F32)^2</f>
        <v>2230942308053904</v>
      </c>
      <c r="H32">
        <v>425777537422.89398</v>
      </c>
      <c r="I32">
        <v>17.670600225397401</v>
      </c>
      <c r="J32">
        <v>26.777182834192899</v>
      </c>
    </row>
    <row r="33" spans="1:10" x14ac:dyDescent="0.2">
      <c r="A33">
        <v>2022</v>
      </c>
      <c r="B33">
        <v>1.4860969754029401</v>
      </c>
      <c r="C33">
        <v>15.970532228243545</v>
      </c>
      <c r="E33">
        <v>5.60274224274806</v>
      </c>
      <c r="F33">
        <v>48011990</v>
      </c>
      <c r="G33">
        <f>(F33)^2</f>
        <v>2305151183760100</v>
      </c>
      <c r="H33">
        <v>453827104224.85895</v>
      </c>
      <c r="I33">
        <v>17.686961329346001</v>
      </c>
      <c r="J33">
        <v>26.840982134755901</v>
      </c>
    </row>
    <row r="34" spans="1:10" x14ac:dyDescent="0.2">
      <c r="A34">
        <v>2023</v>
      </c>
      <c r="B34">
        <v>1.68834126904494</v>
      </c>
      <c r="C34">
        <v>15.063909841069774</v>
      </c>
      <c r="D34">
        <f>(D33+D32)/2</f>
        <v>3.05</v>
      </c>
      <c r="E34">
        <v>5.5947336841858002</v>
      </c>
      <c r="F34">
        <v>48918012</v>
      </c>
      <c r="G34">
        <f>(F34)^2</f>
        <v>2392971898032144</v>
      </c>
      <c r="H34">
        <v>470892276432.17938</v>
      </c>
      <c r="I34">
        <v>17.7056562301815</v>
      </c>
      <c r="J34">
        <v>26.8778951923459</v>
      </c>
    </row>
    <row r="35" spans="1:10" x14ac:dyDescent="0.2">
      <c r="A35">
        <v>2024</v>
      </c>
      <c r="B35">
        <f t="shared" ref="B35:B36" si="0">(B34+B33)/2</f>
        <v>1.58721912222394</v>
      </c>
      <c r="C35">
        <v>13.893461529608764</v>
      </c>
      <c r="D35">
        <f>(D34+D33)/2</f>
        <v>1.5249999999999999</v>
      </c>
      <c r="E35">
        <v>5.5987459805717803</v>
      </c>
      <c r="F35">
        <v>49878883</v>
      </c>
      <c r="G35">
        <f>(F35)^2</f>
        <v>2487902969327689</v>
      </c>
      <c r="H35">
        <v>482189779212.90228</v>
      </c>
      <c r="I35">
        <v>17.725108284780301</v>
      </c>
      <c r="J35">
        <v>26.901603606311401</v>
      </c>
    </row>
    <row r="36" spans="1:10" x14ac:dyDescent="0.2">
      <c r="A36">
        <v>2025</v>
      </c>
      <c r="B36">
        <f t="shared" si="0"/>
        <v>1.63778019563444</v>
      </c>
      <c r="C36">
        <v>14.498928882566359</v>
      </c>
      <c r="D36">
        <f>(D35+D34)/2</f>
        <v>2.2874999999999996</v>
      </c>
      <c r="E36">
        <v>5.5967418446927297</v>
      </c>
      <c r="F36">
        <v>50784126</v>
      </c>
      <c r="G36">
        <f>(F36)^2</f>
        <v>2579027453583876</v>
      </c>
      <c r="H36">
        <v>503367605841.29523</v>
      </c>
      <c r="I36">
        <v>17.743094383401601</v>
      </c>
      <c r="J36">
        <v>26.944586566844599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Nourhane Houssam Mahmoud</cp:lastModifiedBy>
  <dcterms:created xsi:type="dcterms:W3CDTF">2026-09-19T19:42:32Z</dcterms:created>
  <dcterms:modified xsi:type="dcterms:W3CDTF">2026-10-12T16:35:53Z</dcterms:modified>
</cp:coreProperties>
</file>